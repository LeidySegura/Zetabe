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placement" sheetId="2" state="visible" r:id="rId2"/>
    <sheet xmlns:r="http://schemas.openxmlformats.org/officeDocument/2006/relationships" name="Por formato" sheetId="3" state="visible" r:id="rId3"/>
  </sheets>
  <definedNames>
    <definedName name="_xlnm._FilterDatabase" localSheetId="1" hidden="1">'Por placement'!$A$1:$Q$37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2" fontId="2" fillId="3" borderId="1" pivotButton="0" quotePrefix="0" xfId="0"/>
    <xf numFmtId="10" fontId="2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" t="inlineStr">
        <is>
          <t>Reporte CM360 – Placement y Alcance/Frecuencia</t>
        </is>
      </c>
    </row>
    <row r="3">
      <c r="A3" s="2" t="inlineStr">
        <is>
          <t>Advertiser</t>
        </is>
      </c>
      <c r="B3" t="inlineStr">
        <is>
          <t>MCO_MercadoLivre_Child_2024</t>
        </is>
      </c>
    </row>
    <row r="4">
      <c r="A4" s="2" t="inlineStr">
        <is>
          <t>Campaña</t>
        </is>
      </c>
      <c r="B4" t="inlineStr">
        <is>
          <t>MCO_ML_DCM_FE_X_MULTIFORMATO_DD-10_2026</t>
        </is>
      </c>
    </row>
    <row r="5">
      <c r="A5" s="2" t="inlineStr">
        <is>
          <t>Periodo</t>
        </is>
      </c>
      <c r="B5" t="inlineStr">
        <is>
          <t>2026-09-28 a 2026-10-12 (flight completo)</t>
        </is>
      </c>
    </row>
    <row r="6">
      <c r="A6" s="2" t="inlineStr">
        <is>
          <t>Fuente</t>
        </is>
      </c>
      <c r="B6" t="inlineStr">
        <is>
          <t>Campaign Manager 360 vía Windsor.ai (cuenta 9784828)</t>
        </is>
      </c>
    </row>
    <row r="8" ht="32" customHeight="1">
      <c r="A8" s="3" t="inlineStr">
        <is>
          <t>KPI de campaña</t>
        </is>
      </c>
      <c r="B8" s="3" t="inlineStr">
        <is>
          <t>Valor</t>
        </is>
      </c>
    </row>
    <row r="9">
      <c r="A9" s="4" t="inlineStr">
        <is>
          <t>Impresiones</t>
        </is>
      </c>
      <c r="B9" s="5" t="n">
        <v>307037210</v>
      </c>
    </row>
    <row r="10">
      <c r="A10" s="4" t="inlineStr">
        <is>
          <t>Alcance único deduplicado (impresiones)</t>
        </is>
      </c>
      <c r="B10" s="5" t="n">
        <v>23036008</v>
      </c>
    </row>
    <row r="11">
      <c r="A11" s="4" t="inlineStr">
        <is>
          <t>Frecuencia promedio (impresiones)</t>
        </is>
      </c>
      <c r="B11" s="6" t="n">
        <v>13.33</v>
      </c>
    </row>
    <row r="12">
      <c r="A12" s="4" t="inlineStr">
        <is>
          <t>Alcance único viewable</t>
        </is>
      </c>
      <c r="B12" s="5" t="n">
        <v>13064458</v>
      </c>
    </row>
    <row r="13">
      <c r="A13" s="4" t="inlineStr">
        <is>
          <t>Frecuencia promedio viewable</t>
        </is>
      </c>
      <c r="B13" s="6" t="n">
        <v>6.36</v>
      </c>
    </row>
    <row r="14">
      <c r="A14" s="4" t="inlineStr">
        <is>
          <t>Clics</t>
        </is>
      </c>
      <c r="B14" s="5" t="n">
        <v>1116502</v>
      </c>
    </row>
    <row r="15">
      <c r="A15" s="4" t="inlineStr">
        <is>
          <t>Alcance de clic</t>
        </is>
      </c>
      <c r="B15" s="5" t="n">
        <v>944189</v>
      </c>
    </row>
    <row r="16">
      <c r="A16" s="4" t="inlineStr">
        <is>
          <t>Placements con entrega</t>
        </is>
      </c>
      <c r="B16" s="7" t="n">
        <v>36</v>
      </c>
    </row>
    <row r="18">
      <c r="A18" s="2" t="inlineStr">
        <is>
          <t>Notas:</t>
        </is>
      </c>
    </row>
    <row r="19">
      <c r="A19" t="inlineStr">
        <is>
          <t>• El alcance de campaña es el deduplicado de CM360 (Unique Reach). La suma del alcance por placement NO es deduplicada y supera el total.</t>
        </is>
      </c>
    </row>
    <row r="20">
      <c r="A20" t="inlineStr">
        <is>
          <t>• Métricas viewable/clics/video solo existen para placements DV360/YouTube con medición Active View. TikTok y Pinterest se trackean con pixel de impresión (sin clic ni viewability en CM360).</t>
        </is>
      </c>
    </row>
    <row r="21">
      <c r="A21" t="inlineStr">
        <is>
          <t>• CM360 no reporta costo para esta campaña (media cost = 0), por eso no se incluyen CPM/CPC.</t>
        </is>
      </c>
    </row>
    <row r="22">
      <c r="A22" t="inlineStr">
        <is>
          <t>• Placement 457861883 (TikTok In-Feed WEB NEWB) registró 3 clics y 0 impresiones; se suma al total de clics y no aparece en el detalle.</t>
        </is>
      </c>
    </row>
    <row r="23">
      <c r="A23" t="inlineStr">
        <is>
          <t>• CM360 entrega la frecuencia como promedio (impresiones ÷ alcance), no como distribución por buckets (1, 2, 3+…).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70" customWidth="1" min="4" max="4"/>
    <col width="32" customWidth="1" min="5" max="5"/>
    <col width="14" customWidth="1" min="6" max="6"/>
    <col width="14" customWidth="1" min="7" max="7"/>
    <col width="11" customWidth="1" min="8" max="8"/>
    <col width="14" customWidth="1" min="9" max="9"/>
    <col width="14" customWidth="1" min="10" max="10"/>
    <col width="11" customWidth="1" min="11" max="11"/>
    <col width="12" customWidth="1" min="12" max="12"/>
    <col width="9" customWidth="1" min="13" max="13"/>
    <col width="13" customWidth="1" min="14" max="14"/>
    <col width="13" customWidth="1" min="15" max="15"/>
    <col width="14" customWidth="1" min="16" max="16"/>
    <col width="9" customWidth="1" min="17" max="17"/>
  </cols>
  <sheetData>
    <row r="1" ht="32" customHeight="1">
      <c r="A1" s="3" t="inlineStr">
        <is>
          <t>Formato</t>
        </is>
      </c>
      <c r="B1" s="3" t="inlineStr">
        <is>
          <t>Objetivo</t>
        </is>
      </c>
      <c r="C1" s="3" t="inlineStr">
        <is>
          <t>Placement ID</t>
        </is>
      </c>
      <c r="D1" s="3" t="inlineStr">
        <is>
          <t>Placement</t>
        </is>
      </c>
      <c r="E1" s="3" t="inlineStr">
        <is>
          <t>Site</t>
        </is>
      </c>
      <c r="F1" s="3" t="inlineStr">
        <is>
          <t>Impresiones</t>
        </is>
      </c>
      <c r="G1" s="3" t="inlineStr">
        <is>
          <t>Alcance único</t>
        </is>
      </c>
      <c r="H1" s="3" t="inlineStr">
        <is>
          <t>Frecuencia prom.</t>
        </is>
      </c>
      <c r="I1" s="3" t="inlineStr">
        <is>
          <t>Imp. viewable</t>
        </is>
      </c>
      <c r="J1" s="3" t="inlineStr">
        <is>
          <t>Alcance viewable</t>
        </is>
      </c>
      <c r="K1" s="3" t="inlineStr">
        <is>
          <t>Frec. viewable</t>
        </is>
      </c>
      <c r="L1" s="3" t="inlineStr">
        <is>
          <t>Clics</t>
        </is>
      </c>
      <c r="M1" s="3" t="inlineStr">
        <is>
          <t>CTR</t>
        </is>
      </c>
      <c r="N1" s="3" t="inlineStr">
        <is>
          <t>Alcance de clic</t>
        </is>
      </c>
      <c r="O1" s="3" t="inlineStr">
        <is>
          <t>Video starts</t>
        </is>
      </c>
      <c r="P1" s="3" t="inlineStr">
        <is>
          <t>Video completos</t>
        </is>
      </c>
      <c r="Q1" s="3" t="inlineStr">
        <is>
          <t>VTR</t>
        </is>
      </c>
    </row>
    <row r="2">
      <c r="A2" s="4" t="inlineStr">
        <is>
          <t>DV360 Display</t>
        </is>
      </c>
      <c r="B2" s="4" t="inlineStr">
        <is>
          <t>TXS</t>
        </is>
      </c>
      <c r="C2" s="4" t="inlineStr">
        <is>
          <t>459137730</t>
        </is>
      </c>
      <c r="D2" s="4" t="inlineStr">
        <is>
          <t>MCO_ML_G-DV-DISPLAY_GEN_X_FE-DD-X_NEWB_TXS_DD-10_X_93216793</t>
        </is>
      </c>
      <c r="E2" s="4" t="inlineStr">
        <is>
          <t>DV360_DISPLAY_BAU26</t>
        </is>
      </c>
      <c r="F2" s="5" t="n">
        <v>32973428</v>
      </c>
      <c r="G2" s="5" t="n">
        <v>5807372</v>
      </c>
      <c r="H2" s="6" t="n">
        <v>5.68</v>
      </c>
      <c r="I2" s="5" t="n"/>
      <c r="J2" s="5" t="n"/>
      <c r="K2" s="6" t="n"/>
      <c r="L2" s="5" t="n"/>
      <c r="M2" s="8" t="n"/>
      <c r="N2" s="5" t="n"/>
      <c r="O2" s="5" t="n"/>
      <c r="P2" s="5" t="n"/>
      <c r="Q2" s="8" t="n"/>
    </row>
    <row r="3">
      <c r="A3" s="4" t="inlineStr">
        <is>
          <t>DV360 Display</t>
        </is>
      </c>
      <c r="B3" s="4" t="inlineStr">
        <is>
          <t>TXS</t>
        </is>
      </c>
      <c r="C3" s="4" t="inlineStr">
        <is>
          <t>457630153</t>
        </is>
      </c>
      <c r="D3" s="4" t="inlineStr">
        <is>
          <t>MCO_ML_G-DV-DISPLAY_GEN_X_FE-DD-X_NEWB_TXS_DD-10_X_44574574</t>
        </is>
      </c>
      <c r="E3" s="4" t="inlineStr">
        <is>
          <t>(DV360) 1 - Banners - Buyers</t>
        </is>
      </c>
      <c r="F3" s="5" t="n">
        <v>9649212</v>
      </c>
      <c r="G3" s="5" t="n">
        <v>2319425</v>
      </c>
      <c r="H3" s="6" t="n">
        <v>4.16</v>
      </c>
      <c r="I3" s="5" t="n"/>
      <c r="J3" s="5" t="n"/>
      <c r="K3" s="6" t="n"/>
      <c r="L3" s="5" t="n"/>
      <c r="M3" s="8" t="n"/>
      <c r="N3" s="5" t="n"/>
      <c r="O3" s="5" t="n"/>
      <c r="P3" s="5" t="n"/>
      <c r="Q3" s="8" t="n"/>
    </row>
    <row r="4">
      <c r="A4" s="4" t="inlineStr">
        <is>
          <t>DV360 Display</t>
        </is>
      </c>
      <c r="B4" s="4" t="inlineStr">
        <is>
          <t>TXS</t>
        </is>
      </c>
      <c r="C4" s="4" t="inlineStr">
        <is>
          <t>458481036</t>
        </is>
      </c>
      <c r="D4" s="4" t="inlineStr">
        <is>
          <t>MCO_ML_G-DV-DISPLAY_GEN_X_FE-DD-X_ALL_TXS_DD-10_X_94980379</t>
        </is>
      </c>
      <c r="E4" s="4" t="inlineStr">
        <is>
          <t>DV360 - BANNERS - BAU</t>
        </is>
      </c>
      <c r="F4" s="5" t="n">
        <v>3948498</v>
      </c>
      <c r="G4" s="5" t="n">
        <v>568479</v>
      </c>
      <c r="H4" s="6" t="n">
        <v>6.95</v>
      </c>
      <c r="I4" s="5" t="n">
        <v>3595768</v>
      </c>
      <c r="J4" s="5" t="n">
        <v>541446</v>
      </c>
      <c r="K4" s="6" t="n">
        <v>6.64</v>
      </c>
      <c r="L4" s="5" t="n">
        <v>12746</v>
      </c>
      <c r="M4" s="8">
        <f>IFERROR(L4/F4,"")</f>
        <v/>
      </c>
      <c r="N4" s="5" t="n">
        <v>11116</v>
      </c>
      <c r="O4" s="5" t="n"/>
      <c r="P4" s="5" t="n"/>
      <c r="Q4" s="8" t="n"/>
    </row>
    <row r="5">
      <c r="A5" s="4" t="inlineStr">
        <is>
          <t>DV360 Display</t>
        </is>
      </c>
      <c r="B5" s="4" t="inlineStr">
        <is>
          <t>TXS</t>
        </is>
      </c>
      <c r="C5" s="4" t="inlineStr">
        <is>
          <t>458254763</t>
        </is>
      </c>
      <c r="D5" s="4" t="inlineStr">
        <is>
          <t>MCO_ML_G-DV-DISPLAY_GEN_X_FE-DD-X_ALL_TXS_DD-10_X_94980379</t>
        </is>
      </c>
      <c r="E5" s="4" t="inlineStr">
        <is>
          <t>DV360 - BANNERS - BAU</t>
        </is>
      </c>
      <c r="F5" s="5" t="n">
        <v>930581</v>
      </c>
      <c r="G5" s="5" t="n">
        <v>266275</v>
      </c>
      <c r="H5" s="6" t="n">
        <v>3.49</v>
      </c>
      <c r="I5" s="5" t="n">
        <v>836014</v>
      </c>
      <c r="J5" s="5" t="n">
        <v>251596</v>
      </c>
      <c r="K5" s="6" t="n">
        <v>3.32</v>
      </c>
      <c r="L5" s="5" t="n">
        <v>2806</v>
      </c>
      <c r="M5" s="8">
        <f>IFERROR(L5/F5,"")</f>
        <v/>
      </c>
      <c r="N5" s="5" t="n">
        <v>2481</v>
      </c>
      <c r="O5" s="5" t="n"/>
      <c r="P5" s="5" t="n"/>
      <c r="Q5" s="8" t="n"/>
    </row>
    <row r="6">
      <c r="A6" s="4" t="inlineStr">
        <is>
          <t>DV360 Display</t>
        </is>
      </c>
      <c r="B6" s="4" t="inlineStr">
        <is>
          <t>TXS</t>
        </is>
      </c>
      <c r="C6" s="4" t="inlineStr">
        <is>
          <t>458481033</t>
        </is>
      </c>
      <c r="D6" s="4" t="inlineStr">
        <is>
          <t>MCO_ML_G-DV-DISPLAY_GEN_X_FE-DD-X_ALL_TXS_DD-10_X_94980379</t>
        </is>
      </c>
      <c r="E6" s="4" t="inlineStr">
        <is>
          <t>DV360 - BANNERS - BAU</t>
        </is>
      </c>
      <c r="F6" s="5" t="n">
        <v>156027</v>
      </c>
      <c r="G6" s="5" t="n">
        <v>61315</v>
      </c>
      <c r="H6" s="6" t="n">
        <v>2.54</v>
      </c>
      <c r="I6" s="5" t="n">
        <v>117398</v>
      </c>
      <c r="J6" s="5" t="n">
        <v>45911</v>
      </c>
      <c r="K6" s="6" t="n">
        <v>2.56</v>
      </c>
      <c r="L6" s="5" t="n">
        <v>304</v>
      </c>
      <c r="M6" s="8">
        <f>IFERROR(L6/F6,"")</f>
        <v/>
      </c>
      <c r="N6" s="5" t="n">
        <v>279</v>
      </c>
      <c r="O6" s="5" t="n"/>
      <c r="P6" s="5" t="n"/>
      <c r="Q6" s="8" t="n"/>
    </row>
    <row r="7">
      <c r="A7" s="4" t="inlineStr">
        <is>
          <t>DV360 Display</t>
        </is>
      </c>
      <c r="B7" s="4" t="inlineStr">
        <is>
          <t>TXS</t>
        </is>
      </c>
      <c r="C7" s="4" t="inlineStr">
        <is>
          <t>458481039</t>
        </is>
      </c>
      <c r="D7" s="4" t="inlineStr">
        <is>
          <t>MCO_ML_G-DV-DISPLAY_GEN_X_FE-DD-X_ALL_TXS_DD-10_X_94980379</t>
        </is>
      </c>
      <c r="E7" s="4" t="inlineStr">
        <is>
          <t>DV360 - BANNERS - BAU</t>
        </is>
      </c>
      <c r="F7" s="5" t="n">
        <v>151307</v>
      </c>
      <c r="G7" s="5" t="n">
        <v>58052</v>
      </c>
      <c r="H7" s="6" t="n">
        <v>2.61</v>
      </c>
      <c r="I7" s="5" t="n">
        <v>120049</v>
      </c>
      <c r="J7" s="5" t="n">
        <v>47019</v>
      </c>
      <c r="K7" s="6" t="n">
        <v>2.55</v>
      </c>
      <c r="L7" s="5" t="n">
        <v>291</v>
      </c>
      <c r="M7" s="8">
        <f>IFERROR(L7/F7,"")</f>
        <v/>
      </c>
      <c r="N7" s="5" t="n">
        <v>272</v>
      </c>
      <c r="O7" s="5" t="n"/>
      <c r="P7" s="5" t="n"/>
      <c r="Q7" s="8" t="n"/>
    </row>
    <row r="8">
      <c r="A8" s="4" t="inlineStr">
        <is>
          <t>DV360 Display</t>
        </is>
      </c>
      <c r="B8" s="4" t="inlineStr">
        <is>
          <t>TXS</t>
        </is>
      </c>
      <c r="C8" s="4" t="inlineStr">
        <is>
          <t>458481060</t>
        </is>
      </c>
      <c r="D8" s="4" t="inlineStr">
        <is>
          <t>MCO_ML_G-DV-DISPLAY_GEN_X_FE-DD-X_ALL_TXS_DD-10_X_94980379</t>
        </is>
      </c>
      <c r="E8" s="4" t="inlineStr">
        <is>
          <t>DV360 - BANNERS - BAU</t>
        </is>
      </c>
      <c r="F8" s="5" t="n">
        <v>106260</v>
      </c>
      <c r="G8" s="5" t="n">
        <v>55096</v>
      </c>
      <c r="H8" s="6" t="n">
        <v>1.93</v>
      </c>
      <c r="I8" s="5" t="n">
        <v>86952</v>
      </c>
      <c r="J8" s="5" t="n">
        <v>47771</v>
      </c>
      <c r="K8" s="6" t="n">
        <v>1.82</v>
      </c>
      <c r="L8" s="5" t="n">
        <v>650</v>
      </c>
      <c r="M8" s="8">
        <f>IFERROR(L8/F8,"")</f>
        <v/>
      </c>
      <c r="N8" s="5" t="n">
        <v>587</v>
      </c>
      <c r="O8" s="5" t="n"/>
      <c r="P8" s="5" t="n"/>
      <c r="Q8" s="8" t="n"/>
    </row>
    <row r="9">
      <c r="A9" s="4" t="inlineStr">
        <is>
          <t>DV360 Display</t>
        </is>
      </c>
      <c r="B9" s="4" t="inlineStr">
        <is>
          <t>TXS</t>
        </is>
      </c>
      <c r="C9" s="4" t="inlineStr">
        <is>
          <t>458481048</t>
        </is>
      </c>
      <c r="D9" s="4" t="inlineStr">
        <is>
          <t>MCO_ML_G-DV-DISPLAY_GEN_X_FE-DD-X_ALL_TXS_DD-10_X_94980379</t>
        </is>
      </c>
      <c r="E9" s="4" t="inlineStr">
        <is>
          <t>DV360 - BANNERS - BAU</t>
        </is>
      </c>
      <c r="F9" s="5" t="n">
        <v>50030</v>
      </c>
      <c r="G9" s="5" t="n">
        <v>26520</v>
      </c>
      <c r="H9" s="6" t="n">
        <v>1.89</v>
      </c>
      <c r="I9" s="5" t="n">
        <v>43987</v>
      </c>
      <c r="J9" s="5" t="n">
        <v>23920</v>
      </c>
      <c r="K9" s="6" t="n">
        <v>1.84</v>
      </c>
      <c r="L9" s="5" t="n">
        <v>104</v>
      </c>
      <c r="M9" s="8">
        <f>IFERROR(L9/F9,"")</f>
        <v/>
      </c>
      <c r="N9" s="5" t="n">
        <v>94</v>
      </c>
      <c r="O9" s="5" t="n"/>
      <c r="P9" s="5" t="n"/>
      <c r="Q9" s="8" t="n"/>
    </row>
    <row r="10">
      <c r="A10" s="4" t="inlineStr">
        <is>
          <t>DV360 Display</t>
        </is>
      </c>
      <c r="B10" s="4" t="inlineStr">
        <is>
          <t>TXS</t>
        </is>
      </c>
      <c r="C10" s="4" t="inlineStr">
        <is>
          <t>458481045</t>
        </is>
      </c>
      <c r="D10" s="4" t="inlineStr">
        <is>
          <t>MCO_ML_G-DV-DISPLAY_GEN_X_FE-DD-X_ALL_TXS_DD-10_X_94980379</t>
        </is>
      </c>
      <c r="E10" s="4" t="inlineStr">
        <is>
          <t>DV360 - BANNERS - BAU</t>
        </is>
      </c>
      <c r="F10" s="5" t="n">
        <v>49167</v>
      </c>
      <c r="G10" s="5" t="n">
        <v>32737</v>
      </c>
      <c r="H10" s="6" t="n">
        <v>1.5</v>
      </c>
      <c r="I10" s="5" t="n">
        <v>45137</v>
      </c>
      <c r="J10" s="5" t="n">
        <v>30428</v>
      </c>
      <c r="K10" s="6" t="n">
        <v>1.48</v>
      </c>
      <c r="L10" s="5" t="n">
        <v>786</v>
      </c>
      <c r="M10" s="8">
        <f>IFERROR(L10/F10,"")</f>
        <v/>
      </c>
      <c r="N10" s="5" t="n">
        <v>711</v>
      </c>
      <c r="O10" s="5" t="n"/>
      <c r="P10" s="5" t="n"/>
      <c r="Q10" s="8" t="n"/>
    </row>
    <row r="11">
      <c r="A11" s="4" t="inlineStr">
        <is>
          <t>DV360 Display</t>
        </is>
      </c>
      <c r="B11" s="4" t="inlineStr">
        <is>
          <t>TXS</t>
        </is>
      </c>
      <c r="C11" s="4" t="inlineStr">
        <is>
          <t>458481063</t>
        </is>
      </c>
      <c r="D11" s="4" t="inlineStr">
        <is>
          <t>MCO_ML_G-DV-DISPLAY_GEN_X_FE-DD-X_ALL_TXS_DD-10_X_94980379</t>
        </is>
      </c>
      <c r="E11" s="4" t="inlineStr">
        <is>
          <t>DV360 - BANNERS - BAU</t>
        </is>
      </c>
      <c r="F11" s="5" t="n">
        <v>44496</v>
      </c>
      <c r="G11" s="5" t="n">
        <v>27280</v>
      </c>
      <c r="H11" s="6" t="n">
        <v>1.63</v>
      </c>
      <c r="I11" s="5" t="n">
        <v>35926</v>
      </c>
      <c r="J11" s="5" t="n">
        <v>23181</v>
      </c>
      <c r="K11" s="6" t="n">
        <v>1.55</v>
      </c>
      <c r="L11" s="5" t="n">
        <v>282</v>
      </c>
      <c r="M11" s="8">
        <f>IFERROR(L11/F11,"")</f>
        <v/>
      </c>
      <c r="N11" s="5" t="n">
        <v>247</v>
      </c>
      <c r="O11" s="5" t="n"/>
      <c r="P11" s="5" t="n"/>
      <c r="Q11" s="8" t="n"/>
    </row>
    <row r="12">
      <c r="A12" s="4" t="inlineStr">
        <is>
          <t>DV360 Display</t>
        </is>
      </c>
      <c r="B12" s="4" t="inlineStr">
        <is>
          <t>TXS</t>
        </is>
      </c>
      <c r="C12" s="4" t="inlineStr">
        <is>
          <t>458481051</t>
        </is>
      </c>
      <c r="D12" s="4" t="inlineStr">
        <is>
          <t>MCO_ML_G-DV-DISPLAY_GEN_X_FE-DD-X_ALL_TXS_DD-10_X_94980379</t>
        </is>
      </c>
      <c r="E12" s="4" t="inlineStr">
        <is>
          <t>DV360 - BANNERS - BAU</t>
        </is>
      </c>
      <c r="F12" s="5" t="n">
        <v>41837</v>
      </c>
      <c r="G12" s="5" t="n">
        <v>22186</v>
      </c>
      <c r="H12" s="6" t="n">
        <v>1.89</v>
      </c>
      <c r="I12" s="5" t="n">
        <v>36995</v>
      </c>
      <c r="J12" s="5" t="n">
        <v>20061</v>
      </c>
      <c r="K12" s="6" t="n">
        <v>1.84</v>
      </c>
      <c r="L12" s="5" t="n">
        <v>90</v>
      </c>
      <c r="M12" s="8">
        <f>IFERROR(L12/F12,"")</f>
        <v/>
      </c>
      <c r="N12" s="5" t="n">
        <v>88</v>
      </c>
      <c r="O12" s="5" t="n"/>
      <c r="P12" s="5" t="n"/>
      <c r="Q12" s="8" t="n"/>
    </row>
    <row r="13">
      <c r="A13" s="4" t="inlineStr">
        <is>
          <t>DV360 Display</t>
        </is>
      </c>
      <c r="B13" s="4" t="inlineStr">
        <is>
          <t>TXS</t>
        </is>
      </c>
      <c r="C13" s="4" t="inlineStr">
        <is>
          <t>458481042</t>
        </is>
      </c>
      <c r="D13" s="4" t="inlineStr">
        <is>
          <t>MCO_ML_G-DV-DISPLAY_GEN_X_FE-DD-X_ALL_TXS_DD-10_X_94980379</t>
        </is>
      </c>
      <c r="E13" s="4" t="inlineStr">
        <is>
          <t>DV360 - BANNERS - BAU</t>
        </is>
      </c>
      <c r="F13" s="5" t="n">
        <v>30356</v>
      </c>
      <c r="G13" s="5" t="n">
        <v>21209</v>
      </c>
      <c r="H13" s="6" t="n">
        <v>1.43</v>
      </c>
      <c r="I13" s="5" t="n">
        <v>28010</v>
      </c>
      <c r="J13" s="5" t="n">
        <v>19729</v>
      </c>
      <c r="K13" s="6" t="n">
        <v>1.42</v>
      </c>
      <c r="L13" s="5" t="n">
        <v>469</v>
      </c>
      <c r="M13" s="8">
        <f>IFERROR(L13/F13,"")</f>
        <v/>
      </c>
      <c r="N13" s="5" t="n">
        <v>427</v>
      </c>
      <c r="O13" s="5" t="n"/>
      <c r="P13" s="5" t="n"/>
      <c r="Q13" s="8" t="n"/>
    </row>
    <row r="14">
      <c r="A14" s="4" t="inlineStr">
        <is>
          <t>DV360 Display</t>
        </is>
      </c>
      <c r="B14" s="4" t="inlineStr">
        <is>
          <t>TXS</t>
        </is>
      </c>
      <c r="C14" s="4" t="inlineStr">
        <is>
          <t>458481057</t>
        </is>
      </c>
      <c r="D14" s="4" t="inlineStr">
        <is>
          <t>MCO_ML_G-DV-DISPLAY_GEN_X_FE-DD-X_ALL_TXS_DD-10_X_94980379</t>
        </is>
      </c>
      <c r="E14" s="4" t="inlineStr">
        <is>
          <t>DV360 - BANNERS - BAU</t>
        </is>
      </c>
      <c r="F14" s="5" t="n">
        <v>4738</v>
      </c>
      <c r="G14" s="5" t="n">
        <v>3364</v>
      </c>
      <c r="H14" s="6" t="n">
        <v>1.41</v>
      </c>
      <c r="I14" s="5" t="n">
        <v>4222</v>
      </c>
      <c r="J14" s="5" t="n">
        <v>3061</v>
      </c>
      <c r="K14" s="6" t="n">
        <v>1.38</v>
      </c>
      <c r="L14" s="5" t="n">
        <v>52</v>
      </c>
      <c r="M14" s="8">
        <f>IFERROR(L14/F14,"")</f>
        <v/>
      </c>
      <c r="N14" s="5" t="n"/>
      <c r="O14" s="5" t="n"/>
      <c r="P14" s="5" t="n"/>
      <c r="Q14" s="8" t="n"/>
    </row>
    <row r="15">
      <c r="A15" s="4" t="inlineStr">
        <is>
          <t>DV360 Display</t>
        </is>
      </c>
      <c r="B15" s="4" t="inlineStr">
        <is>
          <t>TXS</t>
        </is>
      </c>
      <c r="C15" s="4" t="inlineStr">
        <is>
          <t>458481054</t>
        </is>
      </c>
      <c r="D15" s="4" t="inlineStr">
        <is>
          <t>MCO_ML_G-DV-DISPLAY_GEN_X_FE-DD-X_ALL_TXS_DD-10_X_94980379</t>
        </is>
      </c>
      <c r="E15" s="4" t="inlineStr">
        <is>
          <t>DV360 - BANNERS - BAU</t>
        </is>
      </c>
      <c r="F15" s="5" t="n">
        <v>2753</v>
      </c>
      <c r="G15" s="5" t="n">
        <v>2176</v>
      </c>
      <c r="H15" s="6" t="n">
        <v>1.27</v>
      </c>
      <c r="I15" s="5" t="n">
        <v>2459</v>
      </c>
      <c r="J15" s="5" t="n">
        <v>1967</v>
      </c>
      <c r="K15" s="6" t="n">
        <v>1.25</v>
      </c>
      <c r="L15" s="5" t="n">
        <v>17</v>
      </c>
      <c r="M15" s="8">
        <f>IFERROR(L15/F15,"")</f>
        <v/>
      </c>
      <c r="N15" s="5" t="n"/>
      <c r="O15" s="5" t="n"/>
      <c r="P15" s="5" t="n"/>
      <c r="Q15" s="8" t="n"/>
    </row>
    <row r="16">
      <c r="A16" s="4" t="inlineStr">
        <is>
          <t>DV360 Spotify</t>
        </is>
      </c>
      <c r="B16" s="4" t="inlineStr">
        <is>
          <t>Otro</t>
        </is>
      </c>
      <c r="C16" s="4" t="inlineStr">
        <is>
          <t>457656484</t>
        </is>
      </c>
      <c r="D16" s="4" t="inlineStr">
        <is>
          <t>MCO_ML_G-DV-DL-SPOTIFY_GEN_X_FE-DD-X_ALL_D-PD_DD-10_X_97180303</t>
        </is>
      </c>
      <c r="E16" s="4" t="inlineStr">
        <is>
          <t>DV360 - Spotify - API</t>
        </is>
      </c>
      <c r="F16" s="5" t="n">
        <v>2</v>
      </c>
      <c r="G16" s="5" t="n"/>
      <c r="H16" s="6" t="n"/>
      <c r="I16" s="5" t="n"/>
      <c r="J16" s="5" t="n"/>
      <c r="K16" s="6" t="n"/>
      <c r="L16" s="5" t="n"/>
      <c r="M16" s="8" t="n"/>
      <c r="N16" s="5" t="n"/>
      <c r="O16" s="5" t="n"/>
      <c r="P16" s="5" t="n"/>
      <c r="Q16" s="8" t="n"/>
    </row>
    <row r="17">
      <c r="A17" s="4" t="inlineStr">
        <is>
          <t>DV360 Video</t>
        </is>
      </c>
      <c r="B17" s="4" t="inlineStr">
        <is>
          <t>TXS</t>
        </is>
      </c>
      <c r="C17" s="4" t="inlineStr">
        <is>
          <t>459222339</t>
        </is>
      </c>
      <c r="D17" s="4" t="inlineStr">
        <is>
          <t>MCO_ML_G-DV-VIDEO_GEN_X_FE-DD-MED_ALL_TXS_DD-10_X_35684550</t>
        </is>
      </c>
      <c r="E17" s="4" t="inlineStr">
        <is>
          <t>DV360_VÍDEO_OPEN_26</t>
        </is>
      </c>
      <c r="F17" s="5" t="n">
        <v>27474257</v>
      </c>
      <c r="G17" s="5" t="n">
        <v>4557751</v>
      </c>
      <c r="H17" s="6" t="n">
        <v>6.03</v>
      </c>
      <c r="I17" s="5" t="n"/>
      <c r="J17" s="5" t="n"/>
      <c r="K17" s="6" t="n"/>
      <c r="L17" s="5" t="n"/>
      <c r="M17" s="8" t="n"/>
      <c r="N17" s="5" t="n"/>
      <c r="O17" s="5" t="n"/>
      <c r="P17" s="5" t="n"/>
      <c r="Q17" s="8" t="n"/>
    </row>
    <row r="18">
      <c r="A18" s="4" t="inlineStr">
        <is>
          <t>DV360 Video</t>
        </is>
      </c>
      <c r="B18" s="4" t="inlineStr">
        <is>
          <t>TXS</t>
        </is>
      </c>
      <c r="C18" s="4" t="inlineStr">
        <is>
          <t>457660213</t>
        </is>
      </c>
      <c r="D18" s="4" t="inlineStr">
        <is>
          <t>MCO_ML_G-DV-VIDEO_GEN_X_FE-DD-MED_ALL_TXS_DD-10_X_46987807</t>
        </is>
      </c>
      <c r="E18" s="4" t="inlineStr">
        <is>
          <t>(DV360) - VIDEO</t>
        </is>
      </c>
      <c r="F18" s="5" t="n">
        <v>20343301</v>
      </c>
      <c r="G18" s="5" t="n">
        <v>3212349</v>
      </c>
      <c r="H18" s="6" t="n">
        <v>6.33</v>
      </c>
      <c r="I18" s="5" t="n"/>
      <c r="J18" s="5" t="n"/>
      <c r="K18" s="6" t="n"/>
      <c r="L18" s="5" t="n"/>
      <c r="M18" s="8" t="n"/>
      <c r="N18" s="5" t="n"/>
      <c r="O18" s="5" t="n"/>
      <c r="P18" s="5" t="n"/>
      <c r="Q18" s="8" t="n"/>
    </row>
    <row r="19">
      <c r="A19" s="4" t="inlineStr">
        <is>
          <t>Pinterest</t>
        </is>
      </c>
      <c r="B19" s="4" t="inlineStr">
        <is>
          <t>TXS</t>
        </is>
      </c>
      <c r="C19" s="4" t="inlineStr">
        <is>
          <t>458103285</t>
        </is>
      </c>
      <c r="D19" s="4" t="inlineStr">
        <is>
          <t>MCO_ML_PINTEREST-MAXWIDTH_GEN_X_FE-DD-MED_ALL_TXS_DD-10_X_49112295</t>
        </is>
      </c>
      <c r="E19" s="4" t="inlineStr">
        <is>
          <t>ML_Pinterest_Conver_Maxwidth</t>
        </is>
      </c>
      <c r="F19" s="5" t="n">
        <v>3426101</v>
      </c>
      <c r="G19" s="5" t="n">
        <v>346348</v>
      </c>
      <c r="H19" s="6" t="n">
        <v>9.890000000000001</v>
      </c>
      <c r="I19" s="5" t="n"/>
      <c r="J19" s="5" t="n"/>
      <c r="K19" s="6" t="n"/>
      <c r="L19" s="5" t="n"/>
      <c r="M19" s="8" t="n"/>
      <c r="N19" s="5" t="n"/>
      <c r="O19" s="5" t="n"/>
      <c r="P19" s="5" t="n"/>
      <c r="Q19" s="8" t="n"/>
    </row>
    <row r="20">
      <c r="A20" s="4" t="inlineStr">
        <is>
          <t>Pinterest</t>
        </is>
      </c>
      <c r="B20" s="4" t="inlineStr">
        <is>
          <t>REACH</t>
        </is>
      </c>
      <c r="C20" s="4" t="inlineStr">
        <is>
          <t>458103687</t>
        </is>
      </c>
      <c r="D20" s="4" t="inlineStr">
        <is>
          <t>MCO_ML_PINTEREST-SPOT-HOME_GEN_X_FE-DD-MED_ALL_REACH_DD-10_X_38618090</t>
        </is>
      </c>
      <c r="E20" s="4" t="inlineStr">
        <is>
          <t>ML_Pinterest_SpotlightHome 2</t>
        </is>
      </c>
      <c r="F20" s="5" t="n">
        <v>3148428</v>
      </c>
      <c r="G20" s="5" t="n">
        <v>334115</v>
      </c>
      <c r="H20" s="6" t="n">
        <v>9.42</v>
      </c>
      <c r="I20" s="5" t="n"/>
      <c r="J20" s="5" t="n"/>
      <c r="K20" s="6" t="n"/>
      <c r="L20" s="5" t="n"/>
      <c r="M20" s="8" t="n"/>
      <c r="N20" s="5" t="n"/>
      <c r="O20" s="5" t="n"/>
      <c r="P20" s="5" t="n"/>
      <c r="Q20" s="8" t="n"/>
    </row>
    <row r="21">
      <c r="A21" s="4" t="inlineStr">
        <is>
          <t>Pinterest</t>
        </is>
      </c>
      <c r="B21" s="4" t="inlineStr">
        <is>
          <t>REACH</t>
        </is>
      </c>
      <c r="C21" s="4" t="inlineStr">
        <is>
          <t>458103681</t>
        </is>
      </c>
      <c r="D21" s="4" t="inlineStr">
        <is>
          <t>MCO_ML_PINTEREST-SPOT-HOME_GEN_X_FE-DD-MED_ALL_REACH_DD-10_X_63483735</t>
        </is>
      </c>
      <c r="E21" s="4" t="inlineStr">
        <is>
          <t>ML_Pinterest_SpotlightHome</t>
        </is>
      </c>
      <c r="F21" s="5" t="n">
        <v>3003910</v>
      </c>
      <c r="G21" s="5" t="n">
        <v>325546</v>
      </c>
      <c r="H21" s="6" t="n">
        <v>9.23</v>
      </c>
      <c r="I21" s="5" t="n"/>
      <c r="J21" s="5" t="n"/>
      <c r="K21" s="6" t="n"/>
      <c r="L21" s="5" t="n"/>
      <c r="M21" s="8" t="n"/>
      <c r="N21" s="5" t="n"/>
      <c r="O21" s="5" t="n"/>
      <c r="P21" s="5" t="n"/>
      <c r="Q21" s="8" t="n"/>
    </row>
    <row r="22">
      <c r="A22" s="4" t="inlineStr">
        <is>
          <t>Pinterest</t>
        </is>
      </c>
      <c r="B22" s="4" t="inlineStr">
        <is>
          <t>TXS</t>
        </is>
      </c>
      <c r="C22" s="4" t="inlineStr">
        <is>
          <t>457593574</t>
        </is>
      </c>
      <c r="D22" s="4" t="inlineStr">
        <is>
          <t>MCO_ML_PINTEREST-STDPIN_GEN_X_FE-DD-X_ALL_TXS_DD-10_X_43521407</t>
        </is>
      </c>
      <c r="E22" s="4" t="inlineStr">
        <is>
          <t>ML_Pinterest_Conver_Standard_Pin</t>
        </is>
      </c>
      <c r="F22" s="5" t="n">
        <v>1956626</v>
      </c>
      <c r="G22" s="5" t="n">
        <v>257344</v>
      </c>
      <c r="H22" s="6" t="n">
        <v>7.6</v>
      </c>
      <c r="I22" s="5" t="n"/>
      <c r="J22" s="5" t="n"/>
      <c r="K22" s="6" t="n"/>
      <c r="L22" s="5" t="n"/>
      <c r="M22" s="8" t="n"/>
      <c r="N22" s="5" t="n"/>
      <c r="O22" s="5" t="n"/>
      <c r="P22" s="5" t="n"/>
      <c r="Q22" s="8" t="n"/>
    </row>
    <row r="23">
      <c r="A23" s="4" t="inlineStr">
        <is>
          <t>Pinterest</t>
        </is>
      </c>
      <c r="B23" s="4" t="inlineStr">
        <is>
          <t>REACH</t>
        </is>
      </c>
      <c r="C23" s="4" t="inlineStr">
        <is>
          <t>457585021</t>
        </is>
      </c>
      <c r="D23" s="4" t="inlineStr">
        <is>
          <t>MCO_ML_PINTEREST-SPOT-SEARCH_GEN_X_FE-DD-MED_ALL_REACH_DD-10_X_48337449</t>
        </is>
      </c>
      <c r="E23" s="4" t="inlineStr">
        <is>
          <t>ML_Pinterest_SpotlightSearch 2</t>
        </is>
      </c>
      <c r="F23" s="5" t="n">
        <v>1733345</v>
      </c>
      <c r="G23" s="5" t="n">
        <v>235662</v>
      </c>
      <c r="H23" s="6" t="n">
        <v>7.36</v>
      </c>
      <c r="I23" s="5" t="n"/>
      <c r="J23" s="5" t="n"/>
      <c r="K23" s="6" t="n"/>
      <c r="L23" s="5" t="n"/>
      <c r="M23" s="8" t="n"/>
      <c r="N23" s="5" t="n"/>
      <c r="O23" s="5" t="n"/>
      <c r="P23" s="5" t="n"/>
      <c r="Q23" s="8" t="n"/>
    </row>
    <row r="24">
      <c r="A24" s="4" t="inlineStr">
        <is>
          <t>Pinterest</t>
        </is>
      </c>
      <c r="B24" s="4" t="inlineStr">
        <is>
          <t>REACH</t>
        </is>
      </c>
      <c r="C24" s="4" t="inlineStr">
        <is>
          <t>457589842</t>
        </is>
      </c>
      <c r="D24" s="4" t="inlineStr">
        <is>
          <t>MCO_ML_PINTEREST-SPOT-SEARCH_GEN_X_FE-DD-MED_ALL_REACH_DD-10_X_45107386</t>
        </is>
      </c>
      <c r="E24" s="4" t="inlineStr">
        <is>
          <t>ML_Pinterest_SpotlightSearch</t>
        </is>
      </c>
      <c r="F24" s="5" t="n">
        <v>1598081</v>
      </c>
      <c r="G24" s="5" t="n">
        <v>221465</v>
      </c>
      <c r="H24" s="6" t="n">
        <v>7.22</v>
      </c>
      <c r="I24" s="5" t="n"/>
      <c r="J24" s="5" t="n"/>
      <c r="K24" s="6" t="n"/>
      <c r="L24" s="5" t="n"/>
      <c r="M24" s="8" t="n"/>
      <c r="N24" s="5" t="n"/>
      <c r="O24" s="5" t="n"/>
      <c r="P24" s="5" t="n"/>
      <c r="Q24" s="8" t="n"/>
    </row>
    <row r="25">
      <c r="A25" s="4" t="inlineStr">
        <is>
          <t>TikTok In-Feed</t>
        </is>
      </c>
      <c r="B25" s="4" t="inlineStr">
        <is>
          <t>REACH</t>
        </is>
      </c>
      <c r="C25" s="4" t="inlineStr">
        <is>
          <t>457872893</t>
        </is>
      </c>
      <c r="D25" s="4" t="inlineStr">
        <is>
          <t>MCO_ML_TT-INF_GEN_X_FE-DD-MED_ALL_REACH_DD-10_X_49716435</t>
        </is>
      </c>
      <c r="E25" s="4" t="inlineStr">
        <is>
          <t>ML_TikTok_Infeed_Reach_CM_1</t>
        </is>
      </c>
      <c r="F25" s="5" t="n">
        <v>13980658</v>
      </c>
      <c r="G25" s="5" t="n">
        <v>4355436</v>
      </c>
      <c r="H25" s="6" t="n">
        <v>3.21</v>
      </c>
      <c r="I25" s="5" t="n"/>
      <c r="J25" s="5" t="n"/>
      <c r="K25" s="6" t="n"/>
      <c r="L25" s="5" t="n"/>
      <c r="M25" s="8" t="n"/>
      <c r="N25" s="5" t="n"/>
      <c r="O25" s="5" t="n"/>
      <c r="P25" s="5" t="n"/>
      <c r="Q25" s="8" t="n"/>
    </row>
    <row r="26">
      <c r="A26" s="4" t="inlineStr">
        <is>
          <t>TikTok In-Feed</t>
        </is>
      </c>
      <c r="B26" s="4" t="inlineStr">
        <is>
          <t>TXS</t>
        </is>
      </c>
      <c r="C26" s="4" t="inlineStr">
        <is>
          <t>457861892</t>
        </is>
      </c>
      <c r="D26" s="4" t="inlineStr">
        <is>
          <t>MCO_ML_TT-INF_GEN_X_FE-DD-MED_NEWB_TXS_DD-10_X_83495563_IOS</t>
        </is>
      </c>
      <c r="E26" s="4" t="inlineStr">
        <is>
          <t>ML_TikTok_Infeed_Conversiones</t>
        </is>
      </c>
      <c r="F26" s="5" t="n">
        <v>7517942</v>
      </c>
      <c r="G26" s="5" t="n">
        <v>1689446</v>
      </c>
      <c r="H26" s="6" t="n">
        <v>4.45</v>
      </c>
      <c r="I26" s="5" t="n"/>
      <c r="J26" s="5" t="n"/>
      <c r="K26" s="6" t="n"/>
      <c r="L26" s="5" t="n"/>
      <c r="M26" s="8" t="n"/>
      <c r="N26" s="5" t="n"/>
      <c r="O26" s="5" t="n"/>
      <c r="P26" s="5" t="n"/>
      <c r="Q26" s="8" t="n"/>
    </row>
    <row r="27">
      <c r="A27" s="4" t="inlineStr">
        <is>
          <t>TikTok In-Feed</t>
        </is>
      </c>
      <c r="B27" s="4" t="inlineStr">
        <is>
          <t>TXS</t>
        </is>
      </c>
      <c r="C27" s="4" t="inlineStr">
        <is>
          <t>457581655</t>
        </is>
      </c>
      <c r="D27" s="4" t="inlineStr">
        <is>
          <t>MCO_ML_TT-INF_GEN_X_FE-DD-MED_NEWB_TXS_DD-10_X_83495563_ANDROID</t>
        </is>
      </c>
      <c r="E27" s="4" t="inlineStr">
        <is>
          <t>ML_TikTok_Infeed_Conversiones</t>
        </is>
      </c>
      <c r="F27" s="5" t="n">
        <v>6481474</v>
      </c>
      <c r="G27" s="5" t="n">
        <v>1195394</v>
      </c>
      <c r="H27" s="6" t="n">
        <v>5.42</v>
      </c>
      <c r="I27" s="5" t="n"/>
      <c r="J27" s="5" t="n"/>
      <c r="K27" s="6" t="n"/>
      <c r="L27" s="5" t="n"/>
      <c r="M27" s="8" t="n"/>
      <c r="N27" s="5" t="n"/>
      <c r="O27" s="5" t="n"/>
      <c r="P27" s="5" t="n"/>
      <c r="Q27" s="8" t="n"/>
    </row>
    <row r="28">
      <c r="A28" s="4" t="inlineStr">
        <is>
          <t>TikTok In-Feed</t>
        </is>
      </c>
      <c r="B28" s="4" t="inlineStr">
        <is>
          <t>TXS</t>
        </is>
      </c>
      <c r="C28" s="4" t="inlineStr">
        <is>
          <t>457841444</t>
        </is>
      </c>
      <c r="D28" s="4" t="inlineStr">
        <is>
          <t>MCO_ML_TT-INF_GEN_X_FE-DD-MED_ALL_TXS_DD-10_X_48779754_ANDROID</t>
        </is>
      </c>
      <c r="E28" s="4" t="inlineStr">
        <is>
          <t>ML_TikTok_Infeed_Conversiones_2</t>
        </is>
      </c>
      <c r="F28" s="5" t="n">
        <v>1501387</v>
      </c>
      <c r="G28" s="5" t="n">
        <v>246243</v>
      </c>
      <c r="H28" s="6" t="n">
        <v>6.1</v>
      </c>
      <c r="I28" s="5" t="n"/>
      <c r="J28" s="5" t="n"/>
      <c r="K28" s="6" t="n"/>
      <c r="L28" s="5" t="n"/>
      <c r="M28" s="8" t="n"/>
      <c r="N28" s="5" t="n"/>
      <c r="O28" s="5" t="n"/>
      <c r="P28" s="5" t="n"/>
      <c r="Q28" s="8" t="n"/>
    </row>
    <row r="29">
      <c r="A29" s="4" t="inlineStr">
        <is>
          <t>TikTok In-Feed</t>
        </is>
      </c>
      <c r="B29" s="4" t="inlineStr">
        <is>
          <t>TXS</t>
        </is>
      </c>
      <c r="C29" s="4" t="inlineStr">
        <is>
          <t>458103204</t>
        </is>
      </c>
      <c r="D29" s="4" t="inlineStr">
        <is>
          <t>MCO_ML_TT-INF_GEN_X_FE-DD-MED_ALL_TXS_DD-10_X_48779754_IOS</t>
        </is>
      </c>
      <c r="E29" s="4" t="inlineStr">
        <is>
          <t>ML_TikTok_Infeed_Conversiones_2</t>
        </is>
      </c>
      <c r="F29" s="5" t="n">
        <v>1007723</v>
      </c>
      <c r="G29" s="5" t="n">
        <v>258767</v>
      </c>
      <c r="H29" s="6" t="n">
        <v>3.89</v>
      </c>
      <c r="I29" s="5" t="n"/>
      <c r="J29" s="5" t="n"/>
      <c r="K29" s="6" t="n"/>
      <c r="L29" s="5" t="n"/>
      <c r="M29" s="8" t="n"/>
      <c r="N29" s="5" t="n"/>
      <c r="O29" s="5" t="n"/>
      <c r="P29" s="5" t="n"/>
      <c r="Q29" s="8" t="n"/>
    </row>
    <row r="30">
      <c r="A30" s="4" t="inlineStr">
        <is>
          <t>TikTok In-Feed</t>
        </is>
      </c>
      <c r="B30" s="4" t="inlineStr">
        <is>
          <t>TXS</t>
        </is>
      </c>
      <c r="C30" s="4" t="inlineStr">
        <is>
          <t>457589233</t>
        </is>
      </c>
      <c r="D30" s="4" t="inlineStr">
        <is>
          <t>MCO_ML_TT-INF_GEN_X_FE-DD-MED_ALL_TXS_DD-10_X_48779754_WEB</t>
        </is>
      </c>
      <c r="E30" s="4" t="inlineStr">
        <is>
          <t>ML_TikTok_Infeed_Conversiones_2</t>
        </is>
      </c>
      <c r="F30" s="5" t="n">
        <v>450699</v>
      </c>
      <c r="G30" s="5" t="n">
        <v>181826</v>
      </c>
      <c r="H30" s="6" t="n">
        <v>2.48</v>
      </c>
      <c r="I30" s="5" t="n"/>
      <c r="J30" s="5" t="n"/>
      <c r="K30" s="6" t="n"/>
      <c r="L30" s="5" t="n"/>
      <c r="M30" s="8" t="n"/>
      <c r="N30" s="5" t="n"/>
      <c r="O30" s="5" t="n"/>
      <c r="P30" s="5" t="n"/>
      <c r="Q30" s="8" t="n"/>
    </row>
    <row r="31">
      <c r="A31" s="4" t="inlineStr">
        <is>
          <t>TikTok TopFeed</t>
        </is>
      </c>
      <c r="B31" s="4" t="inlineStr">
        <is>
          <t>REACH</t>
        </is>
      </c>
      <c r="C31" s="4" t="inlineStr">
        <is>
          <t>458104440</t>
        </is>
      </c>
      <c r="D31" s="4" t="inlineStr">
        <is>
          <t>MCO_ML_TT-TF_GEN_X_FE-DD-MED_ALL_REACH_DD-10_X_76831832</t>
        </is>
      </c>
      <c r="E31" s="4" t="inlineStr">
        <is>
          <t>ML_TikTok_TopFeed_2</t>
        </is>
      </c>
      <c r="F31" s="5" t="n">
        <v>13870439</v>
      </c>
      <c r="G31" s="5" t="n">
        <v>5761760</v>
      </c>
      <c r="H31" s="6" t="n">
        <v>2.41</v>
      </c>
      <c r="I31" s="5" t="n"/>
      <c r="J31" s="5" t="n"/>
      <c r="K31" s="6" t="n"/>
      <c r="L31" s="5" t="n"/>
      <c r="M31" s="8" t="n"/>
      <c r="N31" s="5" t="n"/>
      <c r="O31" s="5" t="n"/>
      <c r="P31" s="5" t="n"/>
      <c r="Q31" s="8" t="n"/>
    </row>
    <row r="32">
      <c r="A32" s="4" t="inlineStr">
        <is>
          <t>TikTok TopFeed</t>
        </is>
      </c>
      <c r="B32" s="4" t="inlineStr">
        <is>
          <t>REACH</t>
        </is>
      </c>
      <c r="C32" s="4" t="inlineStr">
        <is>
          <t>458103648</t>
        </is>
      </c>
      <c r="D32" s="4" t="inlineStr">
        <is>
          <t>MCO_ML_TT-TF_GEN_X_FE-DD-MED_ALL_REACH_DD-10_X_20319232</t>
        </is>
      </c>
      <c r="E32" s="4" t="inlineStr">
        <is>
          <t>ML_TikTok_TopFeed</t>
        </is>
      </c>
      <c r="F32" s="5" t="n">
        <v>12566735</v>
      </c>
      <c r="G32" s="5" t="n">
        <v>5205286</v>
      </c>
      <c r="H32" s="6" t="n">
        <v>2.41</v>
      </c>
      <c r="I32" s="5" t="n"/>
      <c r="J32" s="5" t="n"/>
      <c r="K32" s="6" t="n"/>
      <c r="L32" s="5" t="n"/>
      <c r="M32" s="8" t="n"/>
      <c r="N32" s="5" t="n"/>
      <c r="O32" s="5" t="n"/>
      <c r="P32" s="5" t="n"/>
      <c r="Q32" s="8" t="n"/>
    </row>
    <row r="33">
      <c r="A33" s="4" t="inlineStr">
        <is>
          <t>TikTok TopFeed</t>
        </is>
      </c>
      <c r="B33" s="4" t="inlineStr">
        <is>
          <t>REACH</t>
        </is>
      </c>
      <c r="C33" s="4" t="inlineStr">
        <is>
          <t>458103273</t>
        </is>
      </c>
      <c r="D33" s="4" t="inlineStr">
        <is>
          <t>MCO_ML_TT-TF_GEN_X_FE-DD-MED_ALL_REACH_DD-10_X_84603004</t>
        </is>
      </c>
      <c r="E33" s="4" t="inlineStr">
        <is>
          <t>ML_TikTok_TopFeed_5</t>
        </is>
      </c>
      <c r="F33" s="5" t="n">
        <v>8624070</v>
      </c>
      <c r="G33" s="5" t="n">
        <v>4107931</v>
      </c>
      <c r="H33" s="6" t="n">
        <v>2.1</v>
      </c>
      <c r="I33" s="5" t="n"/>
      <c r="J33" s="5" t="n"/>
      <c r="K33" s="6" t="n"/>
      <c r="L33" s="5" t="n"/>
      <c r="M33" s="8" t="n"/>
      <c r="N33" s="5" t="n"/>
      <c r="O33" s="5" t="n"/>
      <c r="P33" s="5" t="n"/>
      <c r="Q33" s="8" t="n"/>
    </row>
    <row r="34">
      <c r="A34" s="4" t="inlineStr">
        <is>
          <t>TikTok TopFeed</t>
        </is>
      </c>
      <c r="B34" s="4" t="inlineStr">
        <is>
          <t>REACH</t>
        </is>
      </c>
      <c r="C34" s="4" t="inlineStr">
        <is>
          <t>458103267</t>
        </is>
      </c>
      <c r="D34" s="4" t="inlineStr">
        <is>
          <t>MCO_ML_TT-TF_GEN_X_FE-DD-MED_ALL_REACH_DD-10_X_25505119</t>
        </is>
      </c>
      <c r="E34" s="4" t="inlineStr">
        <is>
          <t>ML_TikTok_TopFeed_4</t>
        </is>
      </c>
      <c r="F34" s="5" t="n">
        <v>8598054</v>
      </c>
      <c r="G34" s="5" t="n">
        <v>4605591</v>
      </c>
      <c r="H34" s="6" t="n">
        <v>1.87</v>
      </c>
      <c r="I34" s="5" t="n"/>
      <c r="J34" s="5" t="n"/>
      <c r="K34" s="6" t="n"/>
      <c r="L34" s="5" t="n"/>
      <c r="M34" s="8" t="n"/>
      <c r="N34" s="5" t="n"/>
      <c r="O34" s="5" t="n"/>
      <c r="P34" s="5" t="n"/>
      <c r="Q34" s="8" t="n"/>
    </row>
    <row r="35">
      <c r="A35" s="4" t="inlineStr">
        <is>
          <t>YouTube Demand Gen</t>
        </is>
      </c>
      <c r="B35" s="4" t="inlineStr">
        <is>
          <t>TXS</t>
        </is>
      </c>
      <c r="C35" s="4" t="inlineStr">
        <is>
          <t>458357547</t>
        </is>
      </c>
      <c r="D35" s="4" t="inlineStr">
        <is>
          <t>MCO_ML_G-DV-YT-DEM_GEN_X_FE-DD-MED_ALL_TXS_DD-10_X_91931739</t>
        </is>
      </c>
      <c r="E35" s="4" t="inlineStr">
        <is>
          <t>DEMAND-GEN - DV360</t>
        </is>
      </c>
      <c r="F35" s="5" t="n">
        <v>85448246</v>
      </c>
      <c r="G35" s="5" t="n">
        <v>10251910</v>
      </c>
      <c r="H35" s="6" t="n">
        <v>8.33</v>
      </c>
      <c r="I35" s="5" t="n">
        <v>55904508</v>
      </c>
      <c r="J35" s="5" t="n">
        <v>9110525</v>
      </c>
      <c r="K35" s="6" t="n">
        <v>6.14</v>
      </c>
      <c r="L35" s="5" t="n">
        <v>1005821</v>
      </c>
      <c r="M35" s="8">
        <f>IFERROR(L35/F35,"")</f>
        <v/>
      </c>
      <c r="N35" s="5" t="n">
        <v>849713</v>
      </c>
      <c r="O35" s="5" t="n">
        <v>51824726</v>
      </c>
      <c r="P35" s="5" t="n">
        <v>17907583</v>
      </c>
      <c r="Q35" s="8">
        <f>IFERROR(P35/O35,"")</f>
        <v/>
      </c>
    </row>
    <row r="36">
      <c r="A36" s="4" t="inlineStr">
        <is>
          <t>YouTube Masthead</t>
        </is>
      </c>
      <c r="B36" s="4" t="inlineStr">
        <is>
          <t>REACH</t>
        </is>
      </c>
      <c r="C36" s="4" t="inlineStr">
        <is>
          <t>457660261</t>
        </is>
      </c>
      <c r="D36" s="4" t="inlineStr">
        <is>
          <t>MCO_ML_G-DV-YT-MH_GEN_X_FE-DD-MED_ALL_REACH_DD-10_X_26640444</t>
        </is>
      </c>
      <c r="E36" s="4" t="inlineStr">
        <is>
          <t>ML_DV360_MastHead</t>
        </is>
      </c>
      <c r="F36" s="5" t="n">
        <v>23082318</v>
      </c>
      <c r="G36" s="5" t="n">
        <v>8632900</v>
      </c>
      <c r="H36" s="6" t="n">
        <v>2.67</v>
      </c>
      <c r="I36" s="5" t="n">
        <v>10232199</v>
      </c>
      <c r="J36" s="5" t="n">
        <v>4660110</v>
      </c>
      <c r="K36" s="6" t="n">
        <v>2.2</v>
      </c>
      <c r="L36" s="5" t="n">
        <v>66197</v>
      </c>
      <c r="M36" s="8">
        <f>IFERROR(L36/F36,"")</f>
        <v/>
      </c>
      <c r="N36" s="5" t="n">
        <v>58368</v>
      </c>
      <c r="O36" s="5" t="n">
        <v>280297</v>
      </c>
      <c r="P36" s="5" t="n">
        <v>78849</v>
      </c>
      <c r="Q36" s="8">
        <f>IFERROR(P36/O36,"")</f>
        <v/>
      </c>
    </row>
    <row r="37">
      <c r="A37" s="4" t="inlineStr">
        <is>
          <t>YouTube Non-Skip</t>
        </is>
      </c>
      <c r="B37" s="4" t="inlineStr">
        <is>
          <t>REACH</t>
        </is>
      </c>
      <c r="C37" s="4" t="inlineStr">
        <is>
          <t>458114382</t>
        </is>
      </c>
      <c r="D37" s="4" t="inlineStr">
        <is>
          <t>MCO_ML_G-DV-YT-NONS_GEN_X_FE-DD-MED_ALL_REACH_DD-10_X_88633898</t>
        </is>
      </c>
      <c r="E37" s="4" t="inlineStr">
        <is>
          <t>ML_DV360_Trueview_NonSkip</t>
        </is>
      </c>
      <c r="F37" s="5" t="n">
        <v>13084724</v>
      </c>
      <c r="G37" s="5" t="n">
        <v>6941633</v>
      </c>
      <c r="H37" s="6" t="n">
        <v>1.88</v>
      </c>
      <c r="I37" s="5" t="n">
        <v>12033102</v>
      </c>
      <c r="J37" s="5" t="n">
        <v>6605657</v>
      </c>
      <c r="K37" s="6" t="n">
        <v>1.82</v>
      </c>
      <c r="L37" s="5" t="n">
        <v>25884</v>
      </c>
      <c r="M37" s="8">
        <f>IFERROR(L37/F37,"")</f>
        <v/>
      </c>
      <c r="N37" s="5" t="n">
        <v>24939</v>
      </c>
      <c r="O37" s="5" t="n">
        <v>13082854</v>
      </c>
      <c r="P37" s="5" t="n">
        <v>11954805</v>
      </c>
      <c r="Q37" s="8">
        <f>IFERROR(P37/O37,"")</f>
        <v/>
      </c>
    </row>
    <row r="38">
      <c r="A38" s="9" t="inlineStr">
        <is>
          <t>TOTAL CAMPAÑA (alcance deduplicado)</t>
        </is>
      </c>
      <c r="B38" s="9" t="n"/>
      <c r="C38" s="9" t="n"/>
      <c r="D38" s="9" t="n"/>
      <c r="E38" s="9" t="n"/>
      <c r="F38" s="10">
        <f>SUM(F2:F37)</f>
        <v/>
      </c>
      <c r="G38" s="10" t="n">
        <v>23036008</v>
      </c>
      <c r="H38" s="11" t="n">
        <v>13.33</v>
      </c>
      <c r="I38" s="10">
        <f>SUM(I2:I37)</f>
        <v/>
      </c>
      <c r="J38" s="10" t="n">
        <v>13064458</v>
      </c>
      <c r="K38" s="11" t="n">
        <v>6.36</v>
      </c>
      <c r="L38" s="10">
        <f>SUM(L2:L37)+3</f>
        <v/>
      </c>
      <c r="M38" s="12">
        <f>IFERROR(L38/SUMIF(I2:I37,"&gt;0",F2:F37),"")</f>
        <v/>
      </c>
      <c r="N38" s="10" t="n">
        <v>944189</v>
      </c>
      <c r="O38" s="10">
        <f>SUM(O2:O37)</f>
        <v/>
      </c>
      <c r="P38" s="10">
        <f>SUM(P2:P37)</f>
        <v/>
      </c>
      <c r="Q38" s="12">
        <f>IFERROR(P38/O38,"")</f>
        <v/>
      </c>
    </row>
  </sheetData>
  <autoFilter ref="A1:Q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3" customWidth="1" min="4" max="4"/>
    <col width="22" customWidth="1" min="5" max="5"/>
    <col width="20" customWidth="1" min="6" max="6"/>
    <col width="13" customWidth="1" min="7" max="7"/>
    <col width="15" customWidth="1" min="8" max="8"/>
  </cols>
  <sheetData>
    <row r="1" ht="32" customHeight="1">
      <c r="A1" s="3" t="inlineStr">
        <is>
          <t>Formato</t>
        </is>
      </c>
      <c r="B1" s="3" t="inlineStr">
        <is>
          <t># Placements</t>
        </is>
      </c>
      <c r="C1" s="3" t="inlineStr">
        <is>
          <t>Impresiones</t>
        </is>
      </c>
      <c r="D1" s="3" t="inlineStr">
        <is>
          <t>% Impresiones</t>
        </is>
      </c>
      <c r="E1" s="3" t="inlineStr">
        <is>
          <t>Suma alcance placements*</t>
        </is>
      </c>
      <c r="F1" s="3" t="inlineStr">
        <is>
          <t>Frec. prom. ponderada*</t>
        </is>
      </c>
      <c r="G1" s="3" t="inlineStr">
        <is>
          <t>Clics</t>
        </is>
      </c>
      <c r="H1" s="3" t="inlineStr">
        <is>
          <t>Imp. viewable</t>
        </is>
      </c>
    </row>
    <row r="2">
      <c r="A2" s="4" t="inlineStr">
        <is>
          <t>YouTube Demand Gen</t>
        </is>
      </c>
      <c r="B2" s="4" t="n">
        <v>1</v>
      </c>
      <c r="C2" s="5" t="n">
        <v>85448246</v>
      </c>
      <c r="D2" s="13">
        <f>C2/SUM($C$2:$C$10)</f>
        <v/>
      </c>
      <c r="E2" s="5" t="n">
        <v>10251910</v>
      </c>
      <c r="F2" s="6">
        <f>IFERROR(C2/E2,"")</f>
        <v/>
      </c>
      <c r="G2" s="5" t="n">
        <v>1005821</v>
      </c>
      <c r="H2" s="5" t="n">
        <v>55904508</v>
      </c>
    </row>
    <row r="3">
      <c r="A3" s="4" t="inlineStr">
        <is>
          <t>DV360 Display</t>
        </is>
      </c>
      <c r="B3" s="4" t="n">
        <v>14</v>
      </c>
      <c r="C3" s="5" t="n">
        <v>48138690</v>
      </c>
      <c r="D3" s="13">
        <f>C3/SUM($C$2:$C$10)</f>
        <v/>
      </c>
      <c r="E3" s="5" t="n">
        <v>9271486</v>
      </c>
      <c r="F3" s="6">
        <f>IFERROR(C3/E3,"")</f>
        <v/>
      </c>
      <c r="G3" s="5" t="n">
        <v>18597</v>
      </c>
      <c r="H3" s="5" t="n">
        <v>4952917</v>
      </c>
    </row>
    <row r="4">
      <c r="A4" s="4" t="inlineStr">
        <is>
          <t>DV360 Video</t>
        </is>
      </c>
      <c r="B4" s="4" t="n">
        <v>2</v>
      </c>
      <c r="C4" s="5" t="n">
        <v>47817558</v>
      </c>
      <c r="D4" s="13">
        <f>C4/SUM($C$2:$C$10)</f>
        <v/>
      </c>
      <c r="E4" s="5" t="n">
        <v>7770100</v>
      </c>
      <c r="F4" s="6">
        <f>IFERROR(C4/E4,"")</f>
        <v/>
      </c>
      <c r="G4" s="5" t="n"/>
      <c r="H4" s="5" t="n"/>
    </row>
    <row r="5">
      <c r="A5" s="4" t="inlineStr">
        <is>
          <t>TikTok TopFeed</t>
        </is>
      </c>
      <c r="B5" s="4" t="n">
        <v>4</v>
      </c>
      <c r="C5" s="5" t="n">
        <v>43659298</v>
      </c>
      <c r="D5" s="13">
        <f>C5/SUM($C$2:$C$10)</f>
        <v/>
      </c>
      <c r="E5" s="5" t="n">
        <v>19680568</v>
      </c>
      <c r="F5" s="6">
        <f>IFERROR(C5/E5,"")</f>
        <v/>
      </c>
      <c r="G5" s="5" t="n"/>
      <c r="H5" s="5" t="n"/>
    </row>
    <row r="6">
      <c r="A6" s="4" t="inlineStr">
        <is>
          <t>TikTok In-Feed</t>
        </is>
      </c>
      <c r="B6" s="4" t="n">
        <v>6</v>
      </c>
      <c r="C6" s="5" t="n">
        <v>30939883</v>
      </c>
      <c r="D6" s="13">
        <f>C6/SUM($C$2:$C$10)</f>
        <v/>
      </c>
      <c r="E6" s="5" t="n">
        <v>7927112</v>
      </c>
      <c r="F6" s="6">
        <f>IFERROR(C6/E6,"")</f>
        <v/>
      </c>
      <c r="G6" s="5" t="n"/>
      <c r="H6" s="5" t="n"/>
    </row>
    <row r="7">
      <c r="A7" s="4" t="inlineStr">
        <is>
          <t>YouTube Masthead</t>
        </is>
      </c>
      <c r="B7" s="4" t="n">
        <v>1</v>
      </c>
      <c r="C7" s="5" t="n">
        <v>23082318</v>
      </c>
      <c r="D7" s="13">
        <f>C7/SUM($C$2:$C$10)</f>
        <v/>
      </c>
      <c r="E7" s="5" t="n">
        <v>8632900</v>
      </c>
      <c r="F7" s="6">
        <f>IFERROR(C7/E7,"")</f>
        <v/>
      </c>
      <c r="G7" s="5" t="n">
        <v>66197</v>
      </c>
      <c r="H7" s="5" t="n">
        <v>10232199</v>
      </c>
    </row>
    <row r="8">
      <c r="A8" s="4" t="inlineStr">
        <is>
          <t>Pinterest</t>
        </is>
      </c>
      <c r="B8" s="4" t="n">
        <v>6</v>
      </c>
      <c r="C8" s="5" t="n">
        <v>14866491</v>
      </c>
      <c r="D8" s="13">
        <f>C8/SUM($C$2:$C$10)</f>
        <v/>
      </c>
      <c r="E8" s="5" t="n">
        <v>1720480</v>
      </c>
      <c r="F8" s="6">
        <f>IFERROR(C8/E8,"")</f>
        <v/>
      </c>
      <c r="G8" s="5" t="n"/>
      <c r="H8" s="5" t="n"/>
    </row>
    <row r="9">
      <c r="A9" s="4" t="inlineStr">
        <is>
          <t>YouTube Non-Skip</t>
        </is>
      </c>
      <c r="B9" s="4" t="n">
        <v>1</v>
      </c>
      <c r="C9" s="5" t="n">
        <v>13084724</v>
      </c>
      <c r="D9" s="13">
        <f>C9/SUM($C$2:$C$10)</f>
        <v/>
      </c>
      <c r="E9" s="5" t="n">
        <v>6941633</v>
      </c>
      <c r="F9" s="6">
        <f>IFERROR(C9/E9,"")</f>
        <v/>
      </c>
      <c r="G9" s="5" t="n">
        <v>25884</v>
      </c>
      <c r="H9" s="5" t="n">
        <v>12033102</v>
      </c>
    </row>
    <row r="10">
      <c r="A10" s="4" t="inlineStr">
        <is>
          <t>DV360 Spotify</t>
        </is>
      </c>
      <c r="B10" s="4" t="n">
        <v>1</v>
      </c>
      <c r="C10" s="5" t="n">
        <v>2</v>
      </c>
      <c r="D10" s="13">
        <f>C10/SUM($C$2:$C$10)</f>
        <v/>
      </c>
      <c r="E10" s="5" t="n"/>
      <c r="F10" s="6" t="n"/>
      <c r="G10" s="5" t="n"/>
      <c r="H10" s="5" t="n"/>
    </row>
    <row r="12">
      <c r="A12" t="inlineStr">
        <is>
          <t>* Suma del alcance de los placements del formato: no está deduplicada entre placements, por lo que sobreestima el alcance real del formato y subestima su frecuencia.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2026-10-16T19:34:34Z</dcterms:created>
  <dcterms:modified xmlns:dcterms="http://purl.org/dc/terms/" xmlns:xsi="http://www.w3.org/2001/XMLSchema-instance" xsi:type="dcterms:W3CDTF">2026-10-16T19:34:34Z</dcterms:modified>
</cp:coreProperties>
</file>